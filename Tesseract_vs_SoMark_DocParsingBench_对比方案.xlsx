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对比框架" sheetId="2" state="visible" r:id="rId2"/>
    <sheet xmlns:r="http://schemas.openxmlformats.org/officeDocument/2006/relationships" name="样本清单" sheetId="3" state="visible" r:id="rId3"/>
    <sheet xmlns:r="http://schemas.openxmlformats.org/officeDocument/2006/relationships" name="指标口径" sheetId="4" state="visible" r:id="rId4"/>
    <sheet xmlns:r="http://schemas.openxmlformats.org/officeDocument/2006/relationships" name="单页记录" sheetId="5" state="visible" r:id="rId5"/>
    <sheet xmlns:r="http://schemas.openxmlformats.org/officeDocument/2006/relationships" name="结果汇总" sheetId="6" state="visible" r:id="rId6"/>
    <sheet xmlns:r="http://schemas.openxmlformats.org/officeDocument/2006/relationships" name="汇报口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AF7EA"/>
        </patternFill>
      </fill>
    </dxf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" t="inlineStr">
        <is>
          <t>Tesseract 接入 DocParsingBench 对比方案</t>
        </is>
      </c>
    </row>
    <row r="2" ht="24" customHeight="1"/>
    <row r="3" ht="24" customHeight="1">
      <c r="A3" s="2" t="inlineStr">
        <is>
          <t>目的</t>
        </is>
      </c>
    </row>
    <row r="4" ht="24" customHeight="1">
      <c r="A4" t="inlineStr">
        <is>
          <t>把 Tesseract 作为 OCR baseline 接入同一评测框架，与 SoMark 在相同样本、相同输出协议、相同评分口径下进行对比。</t>
        </is>
      </c>
    </row>
    <row r="5" ht="24" customHeight="1"/>
    <row r="6" ht="24" customHeight="1">
      <c r="A6" s="2" t="inlineStr">
        <is>
          <t>这份表解决什么问题</t>
        </is>
      </c>
    </row>
    <row r="7" ht="24" customHeight="1">
      <c r="A7" t="inlineStr">
        <is>
          <t>1. 区分 OCR baseline 与文档解析系统，避免比较口径混乱。</t>
        </is>
      </c>
    </row>
    <row r="8" ht="24" customHeight="1">
      <c r="A8" t="inlineStr">
        <is>
          <t>2. 明确每个场景该比什么：文本、结构、任务结果、时延。</t>
        </is>
      </c>
    </row>
    <row r="9" ht="24" customHeight="1">
      <c r="A9" t="inlineStr">
        <is>
          <t>3. 为老板汇报、PRD 修订和 demo 脚本提供统一证据表。</t>
        </is>
      </c>
    </row>
    <row r="10" ht="24" customHeight="1">
      <c r="A10" t="inlineStr">
        <is>
          <t>4. 先做最小可用 benchmark，再决定是否扩大样本。</t>
        </is>
      </c>
    </row>
    <row r="11" ht="24" customHeight="1"/>
    <row r="12" ht="24" customHeight="1">
      <c r="A12" s="2" t="inlineStr">
        <is>
          <t>推荐执行顺序</t>
        </is>
      </c>
    </row>
    <row r="13" ht="24" customHeight="1">
      <c r="A13" t="inlineStr">
        <is>
          <t>Step 1：在“样本清单”里录入 8-12 份材料，优先覆盖简历、合同、手写单据+银行对账单、论文。</t>
        </is>
      </c>
    </row>
    <row r="14" ht="24" customHeight="1">
      <c r="A14" t="inlineStr">
        <is>
          <t>Step 2：分别跑 Tesseract、SoMark，输出转成统一 markdown 或结构化记录。</t>
        </is>
      </c>
    </row>
    <row r="15" ht="24" customHeight="1">
      <c r="A15" t="inlineStr">
        <is>
          <t>Step 3：在“单页记录”里逐页填写 OCR 可读性、结构完整度、任务结果可用性、耗时。</t>
        </is>
      </c>
    </row>
    <row r="16" ht="24" customHeight="1">
      <c r="A16" t="inlineStr">
        <is>
          <t>Step 4：在“结果汇总”里看场景均分、总分、胜负结论和适合对外讲的口径。</t>
        </is>
      </c>
    </row>
    <row r="17" ht="24" customHeight="1">
      <c r="A17" t="inlineStr">
        <is>
          <t>Step 5：只有在同样本同口径下拿到结果后，才对外说“更准/更快/更可用”。</t>
        </is>
      </c>
    </row>
    <row r="18" ht="24" customHeight="1"/>
    <row r="19" ht="24" customHeight="1"/>
    <row r="20" ht="24" customHeight="1">
      <c r="A20" s="2" t="inlineStr">
        <is>
          <t>重要边界</t>
        </is>
      </c>
    </row>
    <row r="21" ht="24" customHeight="1">
      <c r="A21" t="inlineStr">
        <is>
          <t>不要直接把 DocParsingBench 总分说成 OCR 准确率。它衡量的是结构化文档解析质量。</t>
        </is>
      </c>
    </row>
    <row r="22" ht="24" customHeight="1">
      <c r="A22" t="inlineStr">
        <is>
          <t>不要在没有实测的情况下说“SoMark 比 Tesseract 快多少倍”或“高多少准确率”。</t>
        </is>
      </c>
    </row>
    <row r="23" ht="24" customHeight="1">
      <c r="A23" t="inlineStr">
        <is>
          <t>端到端时延要单独记录，不能只引用评测脚本运行时长。</t>
        </is>
      </c>
    </row>
    <row r="24" ht="24" customHeight="1"/>
    <row r="25" ht="24" customHeight="1"/>
    <row r="26" ht="24" customHeight="1"/>
    <row r="27" ht="24" customHeight="1"/>
    <row r="28" ht="24" customHeight="1"/>
    <row r="29" ht="2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22" customWidth="1" min="4" max="4"/>
    <col width="34" customWidth="1" min="5" max="5"/>
  </cols>
  <sheetData>
    <row r="1">
      <c r="A1" s="3" t="inlineStr">
        <is>
          <t>维度</t>
        </is>
      </c>
      <c r="B1" s="3" t="inlineStr">
        <is>
          <t>Tesseract baseline</t>
        </is>
      </c>
      <c r="C1" s="3" t="inlineStr">
        <is>
          <t>SoMark / 文档解析系统</t>
        </is>
      </c>
      <c r="D1" s="3" t="inlineStr">
        <is>
          <t>记录方式</t>
        </is>
      </c>
      <c r="E1" s="3" t="inlineStr">
        <is>
          <t>老板可听懂的结论</t>
        </is>
      </c>
    </row>
    <row r="2">
      <c r="A2" s="4" t="inlineStr">
        <is>
          <t>定位</t>
        </is>
      </c>
      <c r="B2" s="4" t="inlineStr">
        <is>
          <t>OCR baseline，偏文本识别</t>
        </is>
      </c>
      <c r="C2" s="4" t="inlineStr">
        <is>
          <t>文档解析系统，偏结构化结果与任务结果</t>
        </is>
      </c>
      <c r="D2" s="4" t="inlineStr">
        <is>
          <t>定性</t>
        </is>
      </c>
      <c r="E2" s="4" t="inlineStr">
        <is>
          <t>不是同层工具，比较要看“最终可用结果”</t>
        </is>
      </c>
    </row>
    <row r="3">
      <c r="A3" s="4" t="inlineStr">
        <is>
          <t>印刷体文本</t>
        </is>
      </c>
      <c r="B3" s="4" t="inlineStr">
        <is>
          <t>可作为基础参照</t>
        </is>
      </c>
      <c r="C3" s="4" t="inlineStr">
        <is>
          <t>至少不弱，且可叠加结构输出</t>
        </is>
      </c>
      <c r="D3" s="4" t="inlineStr">
        <is>
          <t>可读性评分 + CER/WER(如有)</t>
        </is>
      </c>
      <c r="E3" s="4" t="inlineStr">
        <is>
          <t>不是只看能不能读出来</t>
        </is>
      </c>
    </row>
    <row r="4">
      <c r="A4" s="4" t="inlineStr">
        <is>
          <t>手写识别</t>
        </is>
      </c>
      <c r="B4" s="4" t="inlineStr">
        <is>
          <t>通常较弱</t>
        </is>
      </c>
      <c r="C4" s="4" t="inlineStr">
        <is>
          <t>若支持手写场景则是显著优势</t>
        </is>
      </c>
      <c r="D4" s="4" t="inlineStr">
        <is>
          <t>任务成功/失败 + 字段提取命中</t>
        </is>
      </c>
      <c r="E4" s="4" t="inlineStr">
        <is>
          <t>手写单据是差异点</t>
        </is>
      </c>
    </row>
    <row r="5">
      <c r="A5" s="4" t="inlineStr">
        <is>
          <t>复杂版面/表格</t>
        </is>
      </c>
      <c r="B5" s="4" t="inlineStr">
        <is>
          <t>版面理解和结构恢复弱</t>
        </is>
      </c>
      <c r="C5" s="4" t="inlineStr">
        <is>
          <t>可做结构还原、表格抽取、跨页拼接</t>
        </is>
      </c>
      <c r="D5" s="4" t="inlineStr">
        <is>
          <t>结构完整度 + 表格指标</t>
        </is>
      </c>
      <c r="E5" s="4" t="inlineStr">
        <is>
          <t>复杂文档不是抽字就结束</t>
        </is>
      </c>
    </row>
    <row r="6">
      <c r="A6" s="4" t="inlineStr">
        <is>
          <t>任务结果</t>
        </is>
      </c>
      <c r="B6" s="4" t="inlineStr">
        <is>
          <t>通常不能直接产出建议/分析/问题</t>
        </is>
      </c>
      <c r="C6" s="4" t="inlineStr">
        <is>
          <t>可产出场景化结果物</t>
        </is>
      </c>
      <c r="D6" s="4" t="inlineStr">
        <is>
          <t>结果可用性评分</t>
        </is>
      </c>
      <c r="E6" s="4" t="inlineStr">
        <is>
          <t>评委最终看的是“结果能不能用”</t>
        </is>
      </c>
    </row>
    <row r="7">
      <c r="A7" s="4" t="inlineStr">
        <is>
          <t>时延</t>
        </is>
      </c>
      <c r="B7" s="4" t="inlineStr">
        <is>
          <t>可单独测 OCR 耗时</t>
        </is>
      </c>
      <c r="C7" s="4" t="inlineStr">
        <is>
          <t>需测端到端处理耗时</t>
        </is>
      </c>
      <c r="D7" s="4" t="inlineStr">
        <is>
          <t>秒/页、首结果时延</t>
        </is>
      </c>
      <c r="E7" s="4" t="inlineStr">
        <is>
          <t>速度比较必须用同一机器同一批样本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8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28" customWidth="1" min="13" max="13"/>
  </cols>
  <sheetData>
    <row r="1">
      <c r="A1" s="3" t="inlineStr">
        <is>
          <t>sample_id</t>
        </is>
      </c>
      <c r="B1" s="3" t="inlineStr">
        <is>
          <t>场景</t>
        </is>
      </c>
      <c r="C1" s="3" t="inlineStr">
        <is>
          <t>文档名</t>
        </is>
      </c>
      <c r="D1" s="3" t="inlineStr">
        <is>
          <t>页数</t>
        </is>
      </c>
      <c r="E1" s="3" t="inlineStr">
        <is>
          <t>语言</t>
        </is>
      </c>
      <c r="F1" s="3" t="inlineStr">
        <is>
          <t>版式复杂度</t>
        </is>
      </c>
      <c r="G1" s="3" t="inlineStr">
        <is>
          <t>是否扫描件</t>
        </is>
      </c>
      <c r="H1" s="3" t="inlineStr">
        <is>
          <t>是否手写</t>
        </is>
      </c>
      <c r="I1" s="3" t="inlineStr">
        <is>
          <t>是否表格密集</t>
        </is>
      </c>
      <c r="J1" s="3" t="inlineStr">
        <is>
          <t>是否含公式</t>
        </is>
      </c>
      <c r="K1" s="3" t="inlineStr">
        <is>
          <t>gold 结果来源</t>
        </is>
      </c>
      <c r="L1" s="3" t="inlineStr">
        <is>
          <t>负责人</t>
        </is>
      </c>
      <c r="M1" s="3" t="inlineStr">
        <is>
          <t>备注</t>
        </is>
      </c>
    </row>
    <row r="2">
      <c r="A2" s="4" t="inlineStr">
        <is>
          <t>CV-01</t>
        </is>
      </c>
      <c r="B2" s="4" t="inlineStr">
        <is>
          <t>简历</t>
        </is>
      </c>
      <c r="C2" s="4" t="inlineStr">
        <is>
          <t>候选人简历 A</t>
        </is>
      </c>
      <c r="D2" s="4" t="n">
        <v>2</v>
      </c>
      <c r="E2" s="4" t="inlineStr">
        <is>
          <t>中文</t>
        </is>
      </c>
      <c r="F2" s="4" t="inlineStr">
        <is>
          <t>中</t>
        </is>
      </c>
      <c r="G2" s="4" t="inlineStr">
        <is>
          <t>是</t>
        </is>
      </c>
      <c r="H2" s="4" t="inlineStr">
        <is>
          <t>否</t>
        </is>
      </c>
      <c r="I2" s="4" t="inlineStr">
        <is>
          <t>否</t>
        </is>
      </c>
      <c r="J2" s="4" t="inlineStr">
        <is>
          <t>否</t>
        </is>
      </c>
      <c r="K2" s="4" t="inlineStr">
        <is>
          <t>人工标注/GT</t>
        </is>
      </c>
      <c r="L2" s="4" t="inlineStr"/>
      <c r="M2" s="4" t="inlineStr">
        <is>
          <t>输出信息卡片、综合评价、面试问题</t>
        </is>
      </c>
    </row>
    <row r="3">
      <c r="A3" s="4" t="inlineStr">
        <is>
          <t>CV-02</t>
        </is>
      </c>
      <c r="B3" s="4" t="inlineStr">
        <is>
          <t>简历</t>
        </is>
      </c>
      <c r="C3" s="4" t="inlineStr">
        <is>
          <t>候选人简历 B</t>
        </is>
      </c>
      <c r="D3" s="4" t="n">
        <v>1</v>
      </c>
      <c r="E3" s="4" t="inlineStr">
        <is>
          <t>中英混排</t>
        </is>
      </c>
      <c r="F3" s="4" t="inlineStr">
        <is>
          <t>中</t>
        </is>
      </c>
      <c r="G3" s="4" t="inlineStr">
        <is>
          <t>否</t>
        </is>
      </c>
      <c r="H3" s="4" t="inlineStr">
        <is>
          <t>否</t>
        </is>
      </c>
      <c r="I3" s="4" t="inlineStr">
        <is>
          <t>否</t>
        </is>
      </c>
      <c r="J3" s="4" t="inlineStr">
        <is>
          <t>否</t>
        </is>
      </c>
      <c r="K3" s="4" t="inlineStr">
        <is>
          <t>人工标注/GT</t>
        </is>
      </c>
      <c r="L3" s="4" t="inlineStr"/>
      <c r="M3" s="4" t="inlineStr">
        <is>
          <t>考察中英混排与项目段落</t>
        </is>
      </c>
    </row>
    <row r="4">
      <c r="A4" s="4" t="inlineStr">
        <is>
          <t>CT-01</t>
        </is>
      </c>
      <c r="B4" s="4" t="inlineStr">
        <is>
          <t>合同</t>
        </is>
      </c>
      <c r="C4" s="4" t="inlineStr">
        <is>
          <t>服务合同 A</t>
        </is>
      </c>
      <c r="D4" s="4" t="n">
        <v>6</v>
      </c>
      <c r="E4" s="4" t="inlineStr">
        <is>
          <t>中文</t>
        </is>
      </c>
      <c r="F4" s="4" t="inlineStr">
        <is>
          <t>高</t>
        </is>
      </c>
      <c r="G4" s="4" t="inlineStr">
        <is>
          <t>是</t>
        </is>
      </c>
      <c r="H4" s="4" t="inlineStr">
        <is>
          <t>否</t>
        </is>
      </c>
      <c r="I4" s="4" t="inlineStr">
        <is>
          <t>否</t>
        </is>
      </c>
      <c r="J4" s="4" t="inlineStr">
        <is>
          <t>否</t>
        </is>
      </c>
      <c r="K4" s="4" t="inlineStr">
        <is>
          <t>人工标注/GT</t>
        </is>
      </c>
      <c r="L4" s="4" t="inlineStr"/>
      <c r="M4" s="4" t="inlineStr">
        <is>
          <t>输出信息提取、风险点、建议</t>
        </is>
      </c>
    </row>
    <row r="5">
      <c r="A5" s="4" t="inlineStr">
        <is>
          <t>CT-02</t>
        </is>
      </c>
      <c r="B5" s="4" t="inlineStr">
        <is>
          <t>合同</t>
        </is>
      </c>
      <c r="C5" s="4" t="inlineStr">
        <is>
          <t>采购合同 B</t>
        </is>
      </c>
      <c r="D5" s="4" t="n">
        <v>4</v>
      </c>
      <c r="E5" s="4" t="inlineStr">
        <is>
          <t>中文</t>
        </is>
      </c>
      <c r="F5" s="4" t="inlineStr">
        <is>
          <t>高</t>
        </is>
      </c>
      <c r="G5" s="4" t="inlineStr">
        <is>
          <t>否</t>
        </is>
      </c>
      <c r="H5" s="4" t="inlineStr">
        <is>
          <t>否</t>
        </is>
      </c>
      <c r="I5" s="4" t="inlineStr">
        <is>
          <t>是</t>
        </is>
      </c>
      <c r="J5" s="4" t="inlineStr">
        <is>
          <t>否</t>
        </is>
      </c>
      <c r="K5" s="4" t="inlineStr">
        <is>
          <t>人工标注/GT</t>
        </is>
      </c>
      <c r="L5" s="4" t="inlineStr"/>
      <c r="M5" s="4" t="inlineStr">
        <is>
          <t>看金额、期限、违约条款</t>
        </is>
      </c>
    </row>
    <row r="6">
      <c r="A6" s="4" t="inlineStr">
        <is>
          <t>BS-01</t>
        </is>
      </c>
      <c r="B6" s="4" t="inlineStr">
        <is>
          <t>对账单</t>
        </is>
      </c>
      <c r="C6" s="4" t="inlineStr">
        <is>
          <t>手写单据 A</t>
        </is>
      </c>
      <c r="D6" s="4" t="n">
        <v>1</v>
      </c>
      <c r="E6" s="4" t="inlineStr">
        <is>
          <t>中文</t>
        </is>
      </c>
      <c r="F6" s="4" t="inlineStr">
        <is>
          <t>中</t>
        </is>
      </c>
      <c r="G6" s="4" t="inlineStr">
        <is>
          <t>是</t>
        </is>
      </c>
      <c r="H6" s="4" t="inlineStr">
        <is>
          <t>是</t>
        </is>
      </c>
      <c r="I6" s="4" t="inlineStr">
        <is>
          <t>是</t>
        </is>
      </c>
      <c r="J6" s="4" t="inlineStr">
        <is>
          <t>否</t>
        </is>
      </c>
      <c r="K6" s="4" t="inlineStr">
        <is>
          <t>人工标注/GT</t>
        </is>
      </c>
      <c r="L6" s="4" t="inlineStr"/>
      <c r="M6" s="4" t="inlineStr">
        <is>
          <t>重点看手写字段抽取</t>
        </is>
      </c>
    </row>
    <row r="7">
      <c r="A7" s="4" t="inlineStr">
        <is>
          <t>BS-02</t>
        </is>
      </c>
      <c r="B7" s="4" t="inlineStr">
        <is>
          <t>对账单</t>
        </is>
      </c>
      <c r="C7" s="4" t="inlineStr">
        <is>
          <t>银行对账单 A</t>
        </is>
      </c>
      <c r="D7" s="4" t="n">
        <v>3</v>
      </c>
      <c r="E7" s="4" t="inlineStr">
        <is>
          <t>中文</t>
        </is>
      </c>
      <c r="F7" s="4" t="inlineStr">
        <is>
          <t>高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是</t>
        </is>
      </c>
      <c r="J7" s="4" t="inlineStr">
        <is>
          <t>否</t>
        </is>
      </c>
      <c r="K7" s="4" t="inlineStr">
        <is>
          <t>人工标注/GT</t>
        </is>
      </c>
      <c r="L7" s="4" t="inlineStr"/>
      <c r="M7" s="4" t="inlineStr">
        <is>
          <t>重点看结构化流水</t>
        </is>
      </c>
    </row>
    <row r="8">
      <c r="A8" s="4" t="inlineStr">
        <is>
          <t>PA-01</t>
        </is>
      </c>
      <c r="B8" s="4" t="inlineStr">
        <is>
          <t>论文</t>
        </is>
      </c>
      <c r="C8" s="4" t="inlineStr">
        <is>
          <t>学术论文 A</t>
        </is>
      </c>
      <c r="D8" s="4" t="n">
        <v>8</v>
      </c>
      <c r="E8" s="4" t="inlineStr">
        <is>
          <t>英文</t>
        </is>
      </c>
      <c r="F8" s="4" t="inlineStr">
        <is>
          <t>高</t>
        </is>
      </c>
      <c r="G8" s="4" t="inlineStr">
        <is>
          <t>否</t>
        </is>
      </c>
      <c r="H8" s="4" t="inlineStr">
        <is>
          <t>否</t>
        </is>
      </c>
      <c r="I8" s="4" t="inlineStr">
        <is>
          <t>是</t>
        </is>
      </c>
      <c r="J8" s="4" t="inlineStr">
        <is>
          <t>是</t>
        </is>
      </c>
      <c r="K8" s="4" t="inlineStr">
        <is>
          <t>人工标注/GT</t>
        </is>
      </c>
      <c r="L8" s="4" t="inlineStr"/>
      <c r="M8" s="4" t="inlineStr">
        <is>
          <t>输出问题、方法、结果、对我作用</t>
        </is>
      </c>
    </row>
    <row r="9">
      <c r="A9" s="4" t="inlineStr">
        <is>
          <t>PA-02</t>
        </is>
      </c>
      <c r="B9" s="4" t="inlineStr">
        <is>
          <t>论文</t>
        </is>
      </c>
      <c r="C9" s="4" t="inlineStr">
        <is>
          <t>技术报告 B</t>
        </is>
      </c>
      <c r="D9" s="4" t="n">
        <v>5</v>
      </c>
      <c r="E9" s="4" t="inlineStr">
        <is>
          <t>中文</t>
        </is>
      </c>
      <c r="F9" s="4" t="inlineStr">
        <is>
          <t>高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是</t>
        </is>
      </c>
      <c r="J9" s="4" t="inlineStr">
        <is>
          <t>否</t>
        </is>
      </c>
      <c r="K9" s="4" t="inlineStr">
        <is>
          <t>人工标注/GT</t>
        </is>
      </c>
      <c r="L9" s="4" t="inlineStr"/>
      <c r="M9" s="4" t="inlineStr">
        <is>
          <t>看长 PDF 摘要与方法抽取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12" customWidth="1" min="4" max="4"/>
    <col width="12" customWidth="1" min="5" max="5"/>
    <col width="28" customWidth="1" min="6" max="6"/>
  </cols>
  <sheetData>
    <row r="1">
      <c r="A1" s="3" t="inlineStr">
        <is>
          <t>指标</t>
        </is>
      </c>
      <c r="B1" s="3" t="inlineStr">
        <is>
          <t>定义</t>
        </is>
      </c>
      <c r="C1" s="3" t="inlineStr">
        <is>
          <t>适用对象</t>
        </is>
      </c>
      <c r="D1" s="3" t="inlineStr">
        <is>
          <t>评分范围</t>
        </is>
      </c>
      <c r="E1" s="3" t="inlineStr">
        <is>
          <t>推荐权重</t>
        </is>
      </c>
      <c r="F1" s="3" t="inlineStr">
        <is>
          <t>填写说明</t>
        </is>
      </c>
    </row>
    <row r="2">
      <c r="A2" s="4" t="inlineStr">
        <is>
          <t>OCR 可读性</t>
        </is>
      </c>
      <c r="B2" s="4" t="inlineStr">
        <is>
          <t>输出文本是否可基本读通，错字漏字是否影响理解</t>
        </is>
      </c>
      <c r="C2" s="4" t="inlineStr">
        <is>
          <t>Tesseract / SoMark</t>
        </is>
      </c>
      <c r="D2" s="4" t="inlineStr">
        <is>
          <t>1-5</t>
        </is>
      </c>
      <c r="E2" s="4" t="inlineStr">
        <is>
          <t>15%</t>
        </is>
      </c>
      <c r="F2" s="4" t="inlineStr">
        <is>
          <t>1=严重不可读；5=可直接阅读</t>
        </is>
      </c>
    </row>
    <row r="3">
      <c r="A3" s="4" t="inlineStr">
        <is>
          <t>结构完整度</t>
        </is>
      </c>
      <c r="B3" s="4" t="inlineStr">
        <is>
          <t>标题、段落、表格、字段、版面结构是否被正确保留</t>
        </is>
      </c>
      <c r="C3" s="4" t="inlineStr">
        <is>
          <t>主要看 SoMark，也记录 Tesseract</t>
        </is>
      </c>
      <c r="D3" s="4" t="inlineStr">
        <is>
          <t>1-5</t>
        </is>
      </c>
      <c r="E3" s="4" t="inlineStr">
        <is>
          <t>25%</t>
        </is>
      </c>
      <c r="F3" s="4" t="inlineStr">
        <is>
          <t>Tesseract 通常作为低基线</t>
        </is>
      </c>
    </row>
    <row r="4">
      <c r="A4" s="4" t="inlineStr">
        <is>
          <t>任务结果可用性</t>
        </is>
      </c>
      <c r="B4" s="4" t="inlineStr">
        <is>
          <t>能否直接支撑场景任务，例如筛人/签约/对账/研究判断</t>
        </is>
      </c>
      <c r="C4" s="4" t="inlineStr">
        <is>
          <t>Tesseract / SoMark</t>
        </is>
      </c>
      <c r="D4" s="4" t="inlineStr">
        <is>
          <t>1-5</t>
        </is>
      </c>
      <c r="E4" s="4" t="inlineStr">
        <is>
          <t>35%</t>
        </is>
      </c>
      <c r="F4" s="4" t="inlineStr">
        <is>
          <t>这是最重要指标</t>
        </is>
      </c>
    </row>
    <row r="5">
      <c r="A5" s="4" t="inlineStr">
        <is>
          <t>字段命中率</t>
        </is>
      </c>
      <c r="B5" s="4" t="inlineStr">
        <is>
          <t>场景关键字段识别是否齐全且正确</t>
        </is>
      </c>
      <c r="C5" s="4" t="inlineStr">
        <is>
          <t>Tesseract / SoMark</t>
        </is>
      </c>
      <c r="D5" s="4" t="inlineStr">
        <is>
          <t>0-100%</t>
        </is>
      </c>
      <c r="E5" s="4" t="inlineStr">
        <is>
          <t>15%</t>
        </is>
      </c>
      <c r="F5" s="4" t="inlineStr">
        <is>
          <t>可按关键字段 checklist 统计</t>
        </is>
      </c>
    </row>
    <row r="6">
      <c r="A6" s="4" t="inlineStr">
        <is>
          <t>端到端耗时(秒)</t>
        </is>
      </c>
      <c r="B6" s="4" t="inlineStr">
        <is>
          <t>从输入到得到可用结果的总耗时</t>
        </is>
      </c>
      <c r="C6" s="4" t="inlineStr">
        <is>
          <t>Tesseract / SoMark</t>
        </is>
      </c>
      <c r="D6" s="4" t="inlineStr">
        <is>
          <t>数值</t>
        </is>
      </c>
      <c r="E6" s="4" t="inlineStr">
        <is>
          <t>10%</t>
        </is>
      </c>
      <c r="F6" s="4" t="inlineStr">
        <is>
          <t>同机同样本同条件记录</t>
        </is>
      </c>
    </row>
    <row r="7">
      <c r="A7" s="4" t="inlineStr">
        <is>
          <t>DocParsingBench 总分</t>
        </is>
      </c>
      <c r="B7" s="4" t="inlineStr">
        <is>
          <t>结构化 markdown 质量分，不等于 OCR 准确率</t>
        </is>
      </c>
      <c r="C7" s="4" t="inlineStr">
        <is>
          <t>SoMark / 可接入的解析系统</t>
        </is>
      </c>
      <c r="D7" s="4" t="inlineStr">
        <is>
          <t>0-100</t>
        </is>
      </c>
      <c r="E7" s="4" t="inlineStr">
        <is>
          <t>参考</t>
        </is>
      </c>
      <c r="F7" s="4" t="inlineStr">
        <is>
          <t>适合做解析质量对比，不单独代表速度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0" customWidth="1" min="12" max="12"/>
    <col width="10" customWidth="1" min="13" max="13"/>
    <col width="12" customWidth="1" min="14" max="14"/>
    <col width="10" customWidth="1" min="15" max="15"/>
    <col width="28" customWidth="1" min="16" max="16"/>
    <col width="14" customWidth="1" min="17" max="17"/>
  </cols>
  <sheetData>
    <row r="1">
      <c r="A1" s="3" t="inlineStr">
        <is>
          <t>record_id</t>
        </is>
      </c>
      <c r="B1" s="3" t="inlineStr">
        <is>
          <t>sample_id</t>
        </is>
      </c>
      <c r="C1" s="3" t="inlineStr">
        <is>
          <t>场景</t>
        </is>
      </c>
      <c r="D1" s="3" t="inlineStr">
        <is>
          <t>页码/子任务</t>
        </is>
      </c>
      <c r="E1" s="3" t="inlineStr">
        <is>
          <t>方案</t>
        </is>
      </c>
      <c r="F1" s="3" t="inlineStr">
        <is>
          <t>输出协议</t>
        </is>
      </c>
      <c r="G1" s="3" t="inlineStr">
        <is>
          <t>OCR可读性(1-5)</t>
        </is>
      </c>
      <c r="H1" s="3" t="inlineStr">
        <is>
          <t>结构完整度(1-5)</t>
        </is>
      </c>
      <c r="I1" s="3" t="inlineStr">
        <is>
          <t>任务结果可用性(1-5)</t>
        </is>
      </c>
      <c r="J1" s="3" t="inlineStr">
        <is>
          <t>字段命中率(%)</t>
        </is>
      </c>
      <c r="K1" s="3" t="inlineStr">
        <is>
          <t>端到端耗时(秒)</t>
        </is>
      </c>
      <c r="L1" s="3" t="inlineStr">
        <is>
          <t>DPB总分</t>
        </is>
      </c>
      <c r="M1" s="3" t="inlineStr">
        <is>
          <t>Text子分</t>
        </is>
      </c>
      <c r="N1" s="3" t="inlineStr">
        <is>
          <t>Formula子分</t>
        </is>
      </c>
      <c r="O1" s="3" t="inlineStr">
        <is>
          <t>Table子分</t>
        </is>
      </c>
      <c r="P1" s="3" t="inlineStr">
        <is>
          <t>关键发现</t>
        </is>
      </c>
      <c r="Q1" s="3" t="inlineStr">
        <is>
          <t>是否可对外展示</t>
        </is>
      </c>
    </row>
    <row r="2">
      <c r="A2" s="4" t="inlineStr">
        <is>
          <t>R-001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4" t="inlineStr">
        <is>
          <t>R-002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4" t="inlineStr">
        <is>
          <t>R-003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inlineStr">
        <is>
          <t>R-004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inlineStr">
        <is>
          <t>R-005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inlineStr">
        <is>
          <t>R-006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4" t="inlineStr">
        <is>
          <t>R-007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4" t="inlineStr">
        <is>
          <t>R-008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4" t="inlineStr">
        <is>
          <t>R-009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4" t="inlineStr">
        <is>
          <t>R-010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4" t="inlineStr">
        <is>
          <t>R-011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>
      <c r="A13" s="4" t="inlineStr">
        <is>
          <t>R-012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4" t="inlineStr">
        <is>
          <t>R-013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4" t="inlineStr">
        <is>
          <t>R-014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4" t="inlineStr">
        <is>
          <t>R-015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>
      <c r="A17" s="4" t="inlineStr">
        <is>
          <t>R-016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inlineStr">
        <is>
          <t>R-017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inlineStr">
        <is>
          <t>R-018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inlineStr">
        <is>
          <t>R-019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inlineStr">
        <is>
          <t>R-020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inlineStr">
        <is>
          <t>R-021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inlineStr">
        <is>
          <t>R-022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inlineStr">
        <is>
          <t>R-023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inlineStr">
        <is>
          <t>R-024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inlineStr">
        <is>
          <t>R-025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4" t="inlineStr">
        <is>
          <t>R-026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4" t="inlineStr">
        <is>
          <t>R-027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>
      <c r="A29" s="4" t="inlineStr">
        <is>
          <t>R-028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4" t="inlineStr">
        <is>
          <t>R-029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inlineStr">
        <is>
          <t>R-030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inlineStr">
        <is>
          <t>R-031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inlineStr">
        <is>
          <t>R-032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inlineStr">
        <is>
          <t>R-033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inlineStr">
        <is>
          <t>R-034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inlineStr">
        <is>
          <t>R-035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inlineStr">
        <is>
          <t>R-036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inlineStr">
        <is>
          <t>R-037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inlineStr">
        <is>
          <t>R-038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A40" s="4" t="inlineStr">
        <is>
          <t>R-039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4" t="inlineStr">
        <is>
          <t>R-040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</sheetData>
  <conditionalFormatting sqref="G2:G200">
    <cfRule type="expression" priority="1" dxfId="0">
      <formula>G2&gt;=4</formula>
    </cfRule>
    <cfRule type="expression" priority="2" dxfId="1">
      <formula>G2&lt;=2</formula>
    </cfRule>
  </conditionalFormatting>
  <conditionalFormatting sqref="H2:H200">
    <cfRule type="expression" priority="3" dxfId="0">
      <formula>H2&gt;=4</formula>
    </cfRule>
    <cfRule type="expression" priority="4" dxfId="1">
      <formula>H2&lt;=2</formula>
    </cfRule>
  </conditionalFormatting>
  <conditionalFormatting sqref="I2:I200">
    <cfRule type="expression" priority="5" dxfId="0">
      <formula>I2&gt;=4</formula>
    </cfRule>
    <cfRule type="expression" priority="6" dxfId="1">
      <formula>I2&lt;=2</formula>
    </cfRule>
  </conditionalFormatting>
  <dataValidations count="4">
    <dataValidation sqref="C2:C200" showDropDown="0" showInputMessage="0" showErrorMessage="0" allowBlank="1" type="list">
      <formula1>"简历,合同,对账单,论文"</formula1>
    </dataValidation>
    <dataValidation sqref="E2:E200" showDropDown="0" showInputMessage="0" showErrorMessage="0" allowBlank="1" type="list">
      <formula1>"Tesseract,SoMark"</formula1>
    </dataValidation>
    <dataValidation sqref="F2:F200" showDropDown="0" showInputMessage="0" showErrorMessage="0" allowBlank="1" type="list">
      <formula1>"纯文本,Markdown,结构化字段,混合"</formula1>
    </dataValidation>
    <dataValidation sqref="Q2:Q2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2" customWidth="1" min="9" max="9"/>
    <col width="12" customWidth="1" min="10" max="10"/>
    <col width="18" customWidth="1" min="11" max="11"/>
  </cols>
  <sheetData>
    <row r="1">
      <c r="A1" s="3" t="inlineStr">
        <is>
          <t>场景</t>
        </is>
      </c>
      <c r="B1" s="3" t="inlineStr">
        <is>
          <t>方案</t>
        </is>
      </c>
      <c r="C1" s="3" t="inlineStr">
        <is>
          <t>样本数</t>
        </is>
      </c>
      <c r="D1" s="3" t="inlineStr">
        <is>
          <t>平均OCR可读性</t>
        </is>
      </c>
      <c r="E1" s="3" t="inlineStr">
        <is>
          <t>平均结构完整度</t>
        </is>
      </c>
      <c r="F1" s="3" t="inlineStr">
        <is>
          <t>平均任务结果可用性</t>
        </is>
      </c>
      <c r="G1" s="3" t="inlineStr">
        <is>
          <t>平均字段命中率(%)</t>
        </is>
      </c>
      <c r="H1" s="3" t="inlineStr">
        <is>
          <t>平均端到端耗时(秒)</t>
        </is>
      </c>
      <c r="I1" s="3" t="inlineStr">
        <is>
          <t>平均DPB总分</t>
        </is>
      </c>
      <c r="J1" s="3" t="inlineStr">
        <is>
          <t>综合分(100)</t>
        </is>
      </c>
      <c r="K1" s="3" t="inlineStr">
        <is>
          <t>结论</t>
        </is>
      </c>
    </row>
    <row r="2">
      <c r="A2" s="4" t="inlineStr">
        <is>
          <t>简历</t>
        </is>
      </c>
      <c r="B2" s="4" t="inlineStr">
        <is>
          <t>Tesseract</t>
        </is>
      </c>
      <c r="C2" s="4">
        <f>COUNTIFS(单页记录!$C:$C,A2,单页记录!$E:$E,B2)</f>
        <v/>
      </c>
      <c r="D2" s="4">
        <f>IFERROR(AVERAGEIFS(单页记录!$G:$G,单页记录!$C:$C,A2,单页记录!$E:$E,B2),"")</f>
        <v/>
      </c>
      <c r="E2" s="4">
        <f>IFERROR(AVERAGEIFS(单页记录!$H:$H,单页记录!$C:$C,A2,单页记录!$E:$E,B2),"")</f>
        <v/>
      </c>
      <c r="F2" s="4">
        <f>IFERROR(AVERAGEIFS(单页记录!$I:$I,单页记录!$C:$C,A2,单页记录!$E:$E,B2),"")</f>
        <v/>
      </c>
      <c r="G2" s="4">
        <f>IFERROR(AVERAGEIFS(单页记录!$J:$J,单页记录!$C:$C,A2,单页记录!$E:$E,B2),"")</f>
        <v/>
      </c>
      <c r="H2" s="4">
        <f>IFERROR(AVERAGEIFS(单页记录!$K:$K,单页记录!$C:$C,A2,单页记录!$E:$E,B2),"")</f>
        <v/>
      </c>
      <c r="I2" s="4">
        <f>IFERROR(AVERAGEIFS(单页记录!$L:$L,单页记录!$C:$C,A2,单页记录!$E:$E,B2),"")</f>
        <v/>
      </c>
      <c r="J2" s="4">
        <f>IF(COUNTA(D2:I2)=0,"",ROUND((D2/5*15)+(E2/5*25)+(F2/5*35)+(G2/100*15)+((1/MIN(H2,999))*10),2))</f>
        <v/>
      </c>
      <c r="K2" s="4">
        <f>IF(J2="","",IF(B2="Tesseract","baseline 参照","任务级结果候选"))</f>
        <v/>
      </c>
    </row>
    <row r="3">
      <c r="A3" s="4" t="inlineStr">
        <is>
          <t>简历</t>
        </is>
      </c>
      <c r="B3" s="4" t="inlineStr">
        <is>
          <t>SoMark</t>
        </is>
      </c>
      <c r="C3" s="4">
        <f>COUNTIFS(单页记录!$C:$C,A3,单页记录!$E:$E,B3)</f>
        <v/>
      </c>
      <c r="D3" s="4">
        <f>IFERROR(AVERAGEIFS(单页记录!$G:$G,单页记录!$C:$C,A3,单页记录!$E:$E,B3),"")</f>
        <v/>
      </c>
      <c r="E3" s="4">
        <f>IFERROR(AVERAGEIFS(单页记录!$H:$H,单页记录!$C:$C,A3,单页记录!$E:$E,B3),"")</f>
        <v/>
      </c>
      <c r="F3" s="4">
        <f>IFERROR(AVERAGEIFS(单页记录!$I:$I,单页记录!$C:$C,A3,单页记录!$E:$E,B3),"")</f>
        <v/>
      </c>
      <c r="G3" s="4">
        <f>IFERROR(AVERAGEIFS(单页记录!$J:$J,单页记录!$C:$C,A3,单页记录!$E:$E,B3),"")</f>
        <v/>
      </c>
      <c r="H3" s="4">
        <f>IFERROR(AVERAGEIFS(单页记录!$K:$K,单页记录!$C:$C,A3,单页记录!$E:$E,B3),"")</f>
        <v/>
      </c>
      <c r="I3" s="4">
        <f>IFERROR(AVERAGEIFS(单页记录!$L:$L,单页记录!$C:$C,A3,单页记录!$E:$E,B3),"")</f>
        <v/>
      </c>
      <c r="J3" s="4">
        <f>IF(COUNTA(D3:I3)=0,"",ROUND((D3/5*15)+(E3/5*25)+(F3/5*35)+(G3/100*15)+((1/MIN(H3,999))*10),2))</f>
        <v/>
      </c>
      <c r="K3" s="4">
        <f>IF(J3="","",IF(B3="Tesseract","baseline 参照","任务级结果候选"))</f>
        <v/>
      </c>
    </row>
    <row r="4">
      <c r="A4" s="4" t="inlineStr">
        <is>
          <t>合同</t>
        </is>
      </c>
      <c r="B4" s="4" t="inlineStr">
        <is>
          <t>Tesseract</t>
        </is>
      </c>
      <c r="C4" s="4">
        <f>COUNTIFS(单页记录!$C:$C,A4,单页记录!$E:$E,B4)</f>
        <v/>
      </c>
      <c r="D4" s="4">
        <f>IFERROR(AVERAGEIFS(单页记录!$G:$G,单页记录!$C:$C,A4,单页记录!$E:$E,B4),"")</f>
        <v/>
      </c>
      <c r="E4" s="4">
        <f>IFERROR(AVERAGEIFS(单页记录!$H:$H,单页记录!$C:$C,A4,单页记录!$E:$E,B4),"")</f>
        <v/>
      </c>
      <c r="F4" s="4">
        <f>IFERROR(AVERAGEIFS(单页记录!$I:$I,单页记录!$C:$C,A4,单页记录!$E:$E,B4),"")</f>
        <v/>
      </c>
      <c r="G4" s="4">
        <f>IFERROR(AVERAGEIFS(单页记录!$J:$J,单页记录!$C:$C,A4,单页记录!$E:$E,B4),"")</f>
        <v/>
      </c>
      <c r="H4" s="4">
        <f>IFERROR(AVERAGEIFS(单页记录!$K:$K,单页记录!$C:$C,A4,单页记录!$E:$E,B4),"")</f>
        <v/>
      </c>
      <c r="I4" s="4">
        <f>IFERROR(AVERAGEIFS(单页记录!$L:$L,单页记录!$C:$C,A4,单页记录!$E:$E,B4),"")</f>
        <v/>
      </c>
      <c r="J4" s="4">
        <f>IF(COUNTA(D4:I4)=0,"",ROUND((D4/5*15)+(E4/5*25)+(F4/5*35)+(G4/100*15)+((1/MIN(H4,999))*10),2))</f>
        <v/>
      </c>
      <c r="K4" s="4">
        <f>IF(J4="","",IF(B4="Tesseract","baseline 参照","任务级结果候选"))</f>
        <v/>
      </c>
    </row>
    <row r="5">
      <c r="A5" s="4" t="inlineStr">
        <is>
          <t>合同</t>
        </is>
      </c>
      <c r="B5" s="4" t="inlineStr">
        <is>
          <t>SoMark</t>
        </is>
      </c>
      <c r="C5" s="4">
        <f>COUNTIFS(单页记录!$C:$C,A5,单页记录!$E:$E,B5)</f>
        <v/>
      </c>
      <c r="D5" s="4">
        <f>IFERROR(AVERAGEIFS(单页记录!$G:$G,单页记录!$C:$C,A5,单页记录!$E:$E,B5),"")</f>
        <v/>
      </c>
      <c r="E5" s="4">
        <f>IFERROR(AVERAGEIFS(单页记录!$H:$H,单页记录!$C:$C,A5,单页记录!$E:$E,B5),"")</f>
        <v/>
      </c>
      <c r="F5" s="4">
        <f>IFERROR(AVERAGEIFS(单页记录!$I:$I,单页记录!$C:$C,A5,单页记录!$E:$E,B5),"")</f>
        <v/>
      </c>
      <c r="G5" s="4">
        <f>IFERROR(AVERAGEIFS(单页记录!$J:$J,单页记录!$C:$C,A5,单页记录!$E:$E,B5),"")</f>
        <v/>
      </c>
      <c r="H5" s="4">
        <f>IFERROR(AVERAGEIFS(单页记录!$K:$K,单页记录!$C:$C,A5,单页记录!$E:$E,B5),"")</f>
        <v/>
      </c>
      <c r="I5" s="4">
        <f>IFERROR(AVERAGEIFS(单页记录!$L:$L,单页记录!$C:$C,A5,单页记录!$E:$E,B5),"")</f>
        <v/>
      </c>
      <c r="J5" s="4">
        <f>IF(COUNTA(D5:I5)=0,"",ROUND((D5/5*15)+(E5/5*25)+(F5/5*35)+(G5/100*15)+((1/MIN(H5,999))*10),2))</f>
        <v/>
      </c>
      <c r="K5" s="4">
        <f>IF(J5="","",IF(B5="Tesseract","baseline 参照","任务级结果候选"))</f>
        <v/>
      </c>
    </row>
    <row r="6">
      <c r="A6" s="4" t="inlineStr">
        <is>
          <t>对账单</t>
        </is>
      </c>
      <c r="B6" s="4" t="inlineStr">
        <is>
          <t>Tesseract</t>
        </is>
      </c>
      <c r="C6" s="4">
        <f>COUNTIFS(单页记录!$C:$C,A6,单页记录!$E:$E,B6)</f>
        <v/>
      </c>
      <c r="D6" s="4">
        <f>IFERROR(AVERAGEIFS(单页记录!$G:$G,单页记录!$C:$C,A6,单页记录!$E:$E,B6),"")</f>
        <v/>
      </c>
      <c r="E6" s="4">
        <f>IFERROR(AVERAGEIFS(单页记录!$H:$H,单页记录!$C:$C,A6,单页记录!$E:$E,B6),"")</f>
        <v/>
      </c>
      <c r="F6" s="4">
        <f>IFERROR(AVERAGEIFS(单页记录!$I:$I,单页记录!$C:$C,A6,单页记录!$E:$E,B6),"")</f>
        <v/>
      </c>
      <c r="G6" s="4">
        <f>IFERROR(AVERAGEIFS(单页记录!$J:$J,单页记录!$C:$C,A6,单页记录!$E:$E,B6),"")</f>
        <v/>
      </c>
      <c r="H6" s="4">
        <f>IFERROR(AVERAGEIFS(单页记录!$K:$K,单页记录!$C:$C,A6,单页记录!$E:$E,B6),"")</f>
        <v/>
      </c>
      <c r="I6" s="4">
        <f>IFERROR(AVERAGEIFS(单页记录!$L:$L,单页记录!$C:$C,A6,单页记录!$E:$E,B6),"")</f>
        <v/>
      </c>
      <c r="J6" s="4">
        <f>IF(COUNTA(D6:I6)=0,"",ROUND((D6/5*15)+(E6/5*25)+(F6/5*35)+(G6/100*15)+((1/MIN(H6,999))*10),2))</f>
        <v/>
      </c>
      <c r="K6" s="4">
        <f>IF(J6="","",IF(B6="Tesseract","baseline 参照","任务级结果候选"))</f>
        <v/>
      </c>
    </row>
    <row r="7">
      <c r="A7" s="4" t="inlineStr">
        <is>
          <t>对账单</t>
        </is>
      </c>
      <c r="B7" s="4" t="inlineStr">
        <is>
          <t>SoMark</t>
        </is>
      </c>
      <c r="C7" s="4">
        <f>COUNTIFS(单页记录!$C:$C,A7,单页记录!$E:$E,B7)</f>
        <v/>
      </c>
      <c r="D7" s="4">
        <f>IFERROR(AVERAGEIFS(单页记录!$G:$G,单页记录!$C:$C,A7,单页记录!$E:$E,B7),"")</f>
        <v/>
      </c>
      <c r="E7" s="4">
        <f>IFERROR(AVERAGEIFS(单页记录!$H:$H,单页记录!$C:$C,A7,单页记录!$E:$E,B7),"")</f>
        <v/>
      </c>
      <c r="F7" s="4">
        <f>IFERROR(AVERAGEIFS(单页记录!$I:$I,单页记录!$C:$C,A7,单页记录!$E:$E,B7),"")</f>
        <v/>
      </c>
      <c r="G7" s="4">
        <f>IFERROR(AVERAGEIFS(单页记录!$J:$J,单页记录!$C:$C,A7,单页记录!$E:$E,B7),"")</f>
        <v/>
      </c>
      <c r="H7" s="4">
        <f>IFERROR(AVERAGEIFS(单页记录!$K:$K,单页记录!$C:$C,A7,单页记录!$E:$E,B7),"")</f>
        <v/>
      </c>
      <c r="I7" s="4">
        <f>IFERROR(AVERAGEIFS(单页记录!$L:$L,单页记录!$C:$C,A7,单页记录!$E:$E,B7),"")</f>
        <v/>
      </c>
      <c r="J7" s="4">
        <f>IF(COUNTA(D7:I7)=0,"",ROUND((D7/5*15)+(E7/5*25)+(F7/5*35)+(G7/100*15)+((1/MIN(H7,999))*10),2))</f>
        <v/>
      </c>
      <c r="K7" s="4">
        <f>IF(J7="","",IF(B7="Tesseract","baseline 参照","任务级结果候选"))</f>
        <v/>
      </c>
    </row>
    <row r="8">
      <c r="A8" s="4" t="inlineStr">
        <is>
          <t>论文</t>
        </is>
      </c>
      <c r="B8" s="4" t="inlineStr">
        <is>
          <t>Tesseract</t>
        </is>
      </c>
      <c r="C8" s="4">
        <f>COUNTIFS(单页记录!$C:$C,A8,单页记录!$E:$E,B8)</f>
        <v/>
      </c>
      <c r="D8" s="4">
        <f>IFERROR(AVERAGEIFS(单页记录!$G:$G,单页记录!$C:$C,A8,单页记录!$E:$E,B8),"")</f>
        <v/>
      </c>
      <c r="E8" s="4">
        <f>IFERROR(AVERAGEIFS(单页记录!$H:$H,单页记录!$C:$C,A8,单页记录!$E:$E,B8),"")</f>
        <v/>
      </c>
      <c r="F8" s="4">
        <f>IFERROR(AVERAGEIFS(单页记录!$I:$I,单页记录!$C:$C,A8,单页记录!$E:$E,B8),"")</f>
        <v/>
      </c>
      <c r="G8" s="4">
        <f>IFERROR(AVERAGEIFS(单页记录!$J:$J,单页记录!$C:$C,A8,单页记录!$E:$E,B8),"")</f>
        <v/>
      </c>
      <c r="H8" s="4">
        <f>IFERROR(AVERAGEIFS(单页记录!$K:$K,单页记录!$C:$C,A8,单页记录!$E:$E,B8),"")</f>
        <v/>
      </c>
      <c r="I8" s="4">
        <f>IFERROR(AVERAGEIFS(单页记录!$L:$L,单页记录!$C:$C,A8,单页记录!$E:$E,B8),"")</f>
        <v/>
      </c>
      <c r="J8" s="4">
        <f>IF(COUNTA(D8:I8)=0,"",ROUND((D8/5*15)+(E8/5*25)+(F8/5*35)+(G8/100*15)+((1/MIN(H8,999))*10),2))</f>
        <v/>
      </c>
      <c r="K8" s="4">
        <f>IF(J8="","",IF(B8="Tesseract","baseline 参照","任务级结果候选"))</f>
        <v/>
      </c>
    </row>
    <row r="9">
      <c r="A9" s="4" t="inlineStr">
        <is>
          <t>论文</t>
        </is>
      </c>
      <c r="B9" s="4" t="inlineStr">
        <is>
          <t>SoMark</t>
        </is>
      </c>
      <c r="C9" s="4">
        <f>COUNTIFS(单页记录!$C:$C,A9,单页记录!$E:$E,B9)</f>
        <v/>
      </c>
      <c r="D9" s="4">
        <f>IFERROR(AVERAGEIFS(单页记录!$G:$G,单页记录!$C:$C,A9,单页记录!$E:$E,B9),"")</f>
        <v/>
      </c>
      <c r="E9" s="4">
        <f>IFERROR(AVERAGEIFS(单页记录!$H:$H,单页记录!$C:$C,A9,单页记录!$E:$E,B9),"")</f>
        <v/>
      </c>
      <c r="F9" s="4">
        <f>IFERROR(AVERAGEIFS(单页记录!$I:$I,单页记录!$C:$C,A9,单页记录!$E:$E,B9),"")</f>
        <v/>
      </c>
      <c r="G9" s="4">
        <f>IFERROR(AVERAGEIFS(单页记录!$J:$J,单页记录!$C:$C,A9,单页记录!$E:$E,B9),"")</f>
        <v/>
      </c>
      <c r="H9" s="4">
        <f>IFERROR(AVERAGEIFS(单页记录!$K:$K,单页记录!$C:$C,A9,单页记录!$E:$E,B9),"")</f>
        <v/>
      </c>
      <c r="I9" s="4">
        <f>IFERROR(AVERAGEIFS(单页记录!$L:$L,单页记录!$C:$C,A9,单页记录!$E:$E,B9),"")</f>
        <v/>
      </c>
      <c r="J9" s="4">
        <f>IF(COUNTA(D9:I9)=0,"",ROUND((D9/5*15)+(E9/5*25)+(F9/5*35)+(G9/100*15)+((1/MIN(H9,999))*10),2))</f>
        <v/>
      </c>
      <c r="K9" s="4">
        <f>IF(J9="","",IF(B9="Tesseract","baseline 参照","任务级结果候选"))</f>
        <v/>
      </c>
    </row>
    <row r="12">
      <c r="A12" s="2" t="inlineStr">
        <is>
          <t>综合分解释</t>
        </is>
      </c>
      <c r="B12" t="inlineStr">
        <is>
          <t>综合分偏向“可用结果”，不是单纯 OCR 指标。</t>
        </is>
      </c>
    </row>
    <row r="13">
      <c r="A13" s="2" t="inlineStr">
        <is>
          <t>推荐汇报方式</t>
        </is>
      </c>
      <c r="B13" t="inlineStr">
        <is>
          <t>同一场景先讲 Tesseract 是 baseline，再讲 SoMark 输出的结构化结果和任务结果。</t>
        </is>
      </c>
    </row>
    <row r="14">
      <c r="A14" s="2" t="inlineStr">
        <is>
          <t>注意</t>
        </is>
      </c>
      <c r="B14" t="inlineStr">
        <is>
          <t>如果要对外讲“更快”，必须补同机同样本的端到端耗时实测。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5" t="inlineStr">
        <is>
          <t>可直接复用的老板/评委沟通口径</t>
        </is>
      </c>
    </row>
    <row r="2" ht="24" customHeight="1"/>
    <row r="3" ht="24" customHeight="1">
      <c r="A3" s="2" t="inlineStr">
        <is>
          <t>一句话定位</t>
        </is>
      </c>
    </row>
    <row r="4" ht="24" customHeight="1">
      <c r="A4" t="inlineStr">
        <is>
          <t>Tesseract 代表传统 OCR baseline，SoMark 代表面向真实文档任务的结构化解析与结果生成。</t>
        </is>
      </c>
    </row>
    <row r="5" ht="24" customHeight="1"/>
    <row r="6" ht="24" customHeight="1">
      <c r="A6" s="2" t="inlineStr">
        <is>
          <t>为什么不能只比 OCR 准确率</t>
        </is>
      </c>
    </row>
    <row r="7" ht="24" customHeight="1">
      <c r="A7" t="inlineStr">
        <is>
          <t>因为简历、合同、对账单、论文都不是“抽字完成”型任务，最终要看能否形成筛选、判断、核对、总结等可用结果。</t>
        </is>
      </c>
    </row>
    <row r="8" ht="24" customHeight="1"/>
    <row r="9" ht="24" customHeight="1">
      <c r="A9" s="2" t="inlineStr">
        <is>
          <t>为什么要接入 DocParsingBench</t>
        </is>
      </c>
    </row>
    <row r="10" ht="24" customHeight="1">
      <c r="A10" t="inlineStr">
        <is>
          <t>DocParsingBench 衡量的是结构化文档解析质量，适合比较复杂版式、表格、公式和真实业务文档的结果可用性。</t>
        </is>
      </c>
    </row>
    <row r="11" ht="24" customHeight="1"/>
    <row r="12" ht="24" customHeight="1">
      <c r="A12" s="2" t="inlineStr">
        <is>
          <t>对外最稳的说法</t>
        </is>
      </c>
    </row>
    <row r="13" ht="24" customHeight="1">
      <c r="A13" t="inlineStr">
        <is>
          <t>我们把 Tesseract 作为 OCR baseline 放进同一评测流程，用同一批样本、同一输出协议和同一打分口径，对比传统 OCR 和任务级文档解析系统的差异。</t>
        </is>
      </c>
    </row>
    <row r="14" ht="24" customHeight="1"/>
    <row r="15" ht="24" customHeight="1">
      <c r="A15" s="2" t="inlineStr">
        <is>
          <t>不要说的话</t>
        </is>
      </c>
    </row>
    <row r="16" ht="24" customHeight="1">
      <c r="A16" t="inlineStr">
        <is>
          <t>在没有同机同样本实测前，不要直接说 SoMark 比 Tesseract 快多少倍或准确率高多少个百分点。</t>
        </is>
      </c>
    </row>
    <row r="17" ht="24" customHeight="1"/>
    <row r="18" ht="24" customHeight="1"/>
    <row r="19" ht="2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2026-05-06T05:37:45Z</dcterms:created>
  <dcterms:modified xmlns:dcterms="http://purl.org/dc/terms/" xmlns:xsi="http://www.w3.org/2001/XMLSchema-instance" xsi:type="dcterms:W3CDTF">2026-05-06T05:37:45Z</dcterms:modified>
</cp:coreProperties>
</file>